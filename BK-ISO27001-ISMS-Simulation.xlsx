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b71685596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8b18469d53bf4ba1"/>
    <x:sheet xmlns:r="http://schemas.openxmlformats.org/officeDocument/2006/relationships" name="Asset Inventory" sheetId="2" r:id="R5b1056554e244e8b"/>
    <x:sheet xmlns:r="http://schemas.openxmlformats.org/officeDocument/2006/relationships" name="Risk Treatment" sheetId="3" r:id="R2264287d63d94877"/>
    <x:sheet xmlns:r="http://schemas.openxmlformats.org/officeDocument/2006/relationships" name="SoA" sheetId="4" r:id="Rab42aafc41494f40"/>
    <x:sheet xmlns:r="http://schemas.openxmlformats.org/officeDocument/2006/relationships" name="CAPA Register" sheetId="5" r:id="Rec0b0d6b25fa40ef"/>
    <x:sheet xmlns:r="http://schemas.openxmlformats.org/officeDocument/2006/relationships" name="Aviation Data Inventory" sheetId="6" r:id="Rcc1010fcb67e4350"/>
    <x:sheet xmlns:r="http://schemas.openxmlformats.org/officeDocument/2006/relationships" name="Data Quality Register" sheetId="7" r:id="R49c8d76146854bbc"/>
    <x:sheet xmlns:r="http://schemas.openxmlformats.org/officeDocument/2006/relationships" name="Regulatory Requirements Matrix" sheetId="8" r:id="Rf7dcd8c854014079"/>
    <x:sheet xmlns:r="http://schemas.openxmlformats.org/officeDocument/2006/relationships" name="Regulatory Data Submission Log" sheetId="9" r:id="R1e591a51a47c408c"/>
    <x:sheet xmlns:r="http://schemas.openxmlformats.org/officeDocument/2006/relationships" name="Aviation Audit &amp; CAPA" sheetId="10" r:id="R3787b4a8c7ba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9bc4566854611" /><Relationship Type="http://schemas.openxmlformats.org/officeDocument/2006/relationships/theme" Target="/xl/theme/theme1.xml" Id="R65c3ca5f9e0b4fd8" /><Relationship Type="http://schemas.openxmlformats.org/officeDocument/2006/relationships/sharedStrings" Target="/xl/sharedStrings.xml" Id="Radc055b104324ab2" /><Relationship Type="http://schemas.openxmlformats.org/officeDocument/2006/relationships/worksheet" Target="/xl/worksheets/sheet1.xml" Id="R8b18469d53bf4ba1" /><Relationship Type="http://schemas.openxmlformats.org/officeDocument/2006/relationships/worksheet" Target="/xl/worksheets/sheet2.xml" Id="R5b1056554e244e8b" /><Relationship Type="http://schemas.openxmlformats.org/officeDocument/2006/relationships/worksheet" Target="/xl/worksheets/sheet3.xml" Id="R2264287d63d94877" /><Relationship Type="http://schemas.openxmlformats.org/officeDocument/2006/relationships/worksheet" Target="/xl/worksheets/sheet4.xml" Id="Rab42aafc41494f40" /><Relationship Type="http://schemas.openxmlformats.org/officeDocument/2006/relationships/worksheet" Target="/xl/worksheets/sheet5.xml" Id="Rec0b0d6b25fa40ef" /><Relationship Type="http://schemas.openxmlformats.org/officeDocument/2006/relationships/worksheet" Target="/xl/worksheets/sheet6.xml" Id="Rcc1010fcb67e4350" /><Relationship Type="http://schemas.openxmlformats.org/officeDocument/2006/relationships/worksheet" Target="/xl/worksheets/sheet7.xml" Id="R49c8d76146854bbc" /><Relationship Type="http://schemas.openxmlformats.org/officeDocument/2006/relationships/worksheet" Target="/xl/worksheets/sheet8.xml" Id="Rf7dcd8c854014079" /><Relationship Type="http://schemas.openxmlformats.org/officeDocument/2006/relationships/worksheet" Target="/xl/worksheets/sheet9.xml" Id="R1e591a51a47c408c" /><Relationship Type="http://schemas.openxmlformats.org/officeDocument/2006/relationships/worksheet" Target="/xl/worksheets/sheet10.xml" Id="R3787b4a8c7ba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Risk ID</x:v>
      </x:c>
      <x:c r="B1" s="3" t="str">
        <x:v>Asset ID</x:v>
      </x:c>
      <x:c r="C1" s="3" t="str">
        <x:v>Asset Name</x:v>
      </x:c>
      <x:c r="D1" s="3" t="str">
        <x:v>Threat</x:v>
      </x:c>
      <x:c r="E1" s="3" t="str">
        <x:v>Vulnerability</x:v>
      </x:c>
      <x:c r="F1" s="3" t="str">
        <x:v>Likelihood</x:v>
      </x:c>
      <x:c r="G1" s="3" t="str">
        <x:v>Impact</x:v>
      </x:c>
      <x:c r="H1" s="3" t="str">
        <x:v>Risk Score</x:v>
      </x:c>
      <x:c r="I1" s="3" t="str">
        <x:v>Risk Level</x:v>
      </x:c>
      <x:c r="J1" s="3" t="str">
        <x:v>Existing Control</x:v>
      </x:c>
      <x:c r="K1" s="3" t="str">
        <x:v>Planned Treatment</x:v>
      </x:c>
      <x:c r="L1" s="3" t="str">
        <x:v>Risk Owner</x:v>
      </x:c>
      <x:c r="M1" s="3" t="str">
        <x:v>Status</x:v>
      </x:c>
    </x:row>
    <x:row r="2">
      <x:c r="A2" t="str">
        <x:v>R-01</x:v>
      </x:c>
      <x:c r="B2" t="str">
        <x:v>A-01</x:v>
      </x:c>
      <x:c r="C2" t="str">
        <x:v>Customer Database</x:v>
      </x:c>
      <x:c r="D2" t="str">
        <x:v>Unauthorized access</x:v>
      </x:c>
      <x:c r="E2" t="str">
        <x:v>Excessive privileges</x:v>
      </x:c>
      <x:c r="F2" t="n">
        <x:v>4</x:v>
      </x:c>
      <x:c r="G2" t="n">
        <x:v>5</x:v>
      </x:c>
      <x:c r="H2" t="n">
        <x:f>F2*G2</x:f>
        <x:v>20</x:v>
      </x:c>
      <x:c r="I2" t="str">
        <x:f>IF(H2&lt;=4,"Low",IF(H2&lt;=9,"Medium",IF(H2&lt;=14,"High","Critical")))</x:f>
        <x:v>Critical</x:v>
      </x:c>
      <x:c r="J2" t="str">
        <x:v>Database access review</x:v>
      </x:c>
      <x:c r="K2" t="str">
        <x:v>Least privilege and quarterly review</x:v>
      </x:c>
      <x:c r="L2" t="str">
        <x:v>CISO</x:v>
      </x:c>
      <x:c r="M2" t="str">
        <x:v>Open</x:v>
      </x:c>
    </x:row>
    <x:row r="3">
      <x:c r="A3" t="str">
        <x:v>R-02</x:v>
      </x:c>
      <x:c r="B3" t="str">
        <x:v>A-05</x:v>
      </x:c>
      <x:c r="C3" t="str">
        <x:v>Corporate Email</x:v>
      </x:c>
      <x:c r="D3" t="str">
        <x:v>Account compromise</x:v>
      </x:c>
      <x:c r="E3" t="str">
        <x:v>Weak authentication</x:v>
      </x:c>
      <x:c r="F3" t="n">
        <x:v>4</x:v>
      </x:c>
      <x:c r="G3" t="n">
        <x:v>4</x:v>
      </x:c>
      <x:c r="H3" t="n">
        <x:f>F3*G3</x:f>
        <x:v>16</x:v>
      </x:c>
      <x:c r="I3" t="str">
        <x:f>IF(H3&lt;=4,"Low",IF(H3&lt;=9,"Medium",IF(H3&lt;=14,"High","Critical")))</x:f>
        <x:v>Critical</x:v>
      </x:c>
      <x:c r="J3" t="str">
        <x:v>Mailbox protection</x:v>
      </x:c>
      <x:c r="K3" t="str">
        <x:v>MFA and access review</x:v>
      </x:c>
      <x:c r="L3" t="str">
        <x:v>CISO</x:v>
      </x:c>
      <x:c r="M3" t="str">
        <x:v>Open</x:v>
      </x:c>
    </x:row>
    <x:row r="4">
      <x:c r="A4" t="str">
        <x:v>R-03</x:v>
      </x:c>
      <x:c r="B4" t="str">
        <x:v>A-04</x:v>
      </x:c>
      <x:c r="C4" t="str">
        <x:v>Employee Laptops</x:v>
      </x:c>
      <x:c r="D4" t="str">
        <x:v>Malware infection</x:v>
      </x:c>
      <x:c r="E4" t="str">
        <x:v>Unpatched endpoint</x:v>
      </x:c>
      <x:c r="F4" t="n">
        <x:v>3</x:v>
      </x:c>
      <x:c r="G4" t="n">
        <x:v>4</x:v>
      </x:c>
      <x:c r="H4" t="n">
        <x:f>F4*G4</x:f>
        <x:v>12</x:v>
      </x:c>
      <x:c r="I4" t="str">
        <x:f>IF(H4&lt;=4,"Low",IF(H4&lt;=9,"Medium",IF(H4&lt;=14,"High","Critical")))</x:f>
        <x:v>High</x:v>
      </x:c>
      <x:c r="J4" t="str">
        <x:v>Endpoint protection</x:v>
      </x:c>
      <x:c r="K4" t="str">
        <x:v>Patch and malware management</x:v>
      </x:c>
      <x:c r="L4" t="str">
        <x:v>IT Owner</x:v>
      </x:c>
      <x:c r="M4" t="str">
        <x:v>Open</x:v>
      </x:c>
    </x:row>
    <x:row r="5">
      <x:c r="A5" t="str">
        <x:v>R-04</x:v>
      </x:c>
      <x:c r="B5" t="str">
        <x:v>A-04</x:v>
      </x:c>
      <x:c r="C5" t="str">
        <x:v>Employee Laptops</x:v>
      </x:c>
      <x:c r="D5" t="str">
        <x:v>Device theft</x:v>
      </x:c>
      <x:c r="E5" t="str">
        <x:v>Remote work exposure</x:v>
      </x:c>
      <x:c r="F5" t="n">
        <x:v>3</x:v>
      </x:c>
      <x:c r="G5" t="n">
        <x:v>4</x:v>
      </x:c>
      <x:c r="H5" t="n">
        <x:f>F5*G5</x:f>
        <x:v>12</x:v>
      </x:c>
      <x:c r="I5" t="str">
        <x:f>IF(H5&lt;=4,"Low",IF(H5&lt;=9,"Medium",IF(H5&lt;=14,"High","Critical")))</x:f>
        <x:v>High</x:v>
      </x:c>
      <x:c r="J5" t="str">
        <x:v>Screen lock and disk encryption</x:v>
      </x:c>
      <x:c r="K5" t="str">
        <x:v>Asset and remote-work controls</x:v>
      </x:c>
      <x:c r="L5" t="str">
        <x:v>IT Owner</x:v>
      </x:c>
      <x:c r="M5" t="str">
        <x:v>Open</x:v>
      </x:c>
    </x:row>
    <x:row r="6">
      <x:c r="A6" t="str">
        <x:v>R-05</x:v>
      </x:c>
      <x:c r="B6" t="str">
        <x:v>A-05</x:v>
      </x:c>
      <x:c r="C6" t="str">
        <x:v>Corporate Email</x:v>
      </x:c>
      <x:c r="D6" t="str">
        <x:v>Phishing attack</x:v>
      </x:c>
      <x:c r="E6" t="str">
        <x:v>User deception</x:v>
      </x:c>
      <x:c r="F6" t="n">
        <x:v>4</x:v>
      </x:c>
      <x:c r="G6" t="n">
        <x:v>4</x:v>
      </x:c>
      <x:c r="H6" t="n">
        <x:f>F6*G6</x:f>
        <x:v>16</x:v>
      </x:c>
      <x:c r="I6" t="str">
        <x:f>IF(H6&lt;=4,"Low",IF(H6&lt;=9,"Medium",IF(H6&lt;=14,"High","Critical")))</x:f>
        <x:v>Critical</x:v>
      </x:c>
      <x:c r="J6" t="str">
        <x:v>Spam filtering</x:v>
      </x:c>
      <x:c r="K6" t="str">
        <x:v>Awareness and reporting drills</x:v>
      </x:c>
      <x:c r="L6" t="str">
        <x:v>CISO</x:v>
      </x:c>
      <x:c r="M6" t="str">
        <x:v>Open</x:v>
      </x:c>
    </x:row>
    <x:row r="7">
      <x:c r="A7" t="str">
        <x:v>R-06</x:v>
      </x:c>
      <x:c r="B7" t="str">
        <x:v>A-06</x:v>
      </x:c>
      <x:c r="C7" t="str">
        <x:v>GitHub Repository</x:v>
      </x:c>
      <x:c r="D7" t="str">
        <x:v>Source code exposure</x:v>
      </x:c>
      <x:c r="E7" t="str">
        <x:v>Incorrect repository permissions</x:v>
      </x:c>
      <x:c r="F7" t="n">
        <x:v>3</x:v>
      </x:c>
      <x:c r="G7" t="n">
        <x:v>5</x:v>
      </x:c>
      <x:c r="H7" t="n">
        <x:f>F7*G7</x:f>
        <x:v>15</x:v>
      </x:c>
      <x:c r="I7" t="str">
        <x:f>IF(H7&lt;=4,"Low",IF(H7&lt;=9,"Medium",IF(H7&lt;=14,"High","Critical")))</x:f>
        <x:v>Critical</x:v>
      </x:c>
      <x:c r="J7" t="str">
        <x:v>Repository permissions</x:v>
      </x:c>
      <x:c r="K7" t="str">
        <x:v>Branch and repository review</x:v>
      </x:c>
      <x:c r="L7" t="str">
        <x:v>CTO</x:v>
      </x:c>
      <x:c r="M7" t="str">
        <x:v>Open</x:v>
      </x:c>
    </x:row>
    <x:row r="8">
      <x:c r="A8" t="str">
        <x:v>R-07</x:v>
      </x:c>
      <x:c r="B8" t="str">
        <x:v>A-07</x:v>
      </x:c>
      <x:c r="C8" t="str">
        <x:v>Cloud File Storage</x:v>
      </x:c>
      <x:c r="D8" t="str">
        <x:v>Data leakage</x:v>
      </x:c>
      <x:c r="E8" t="str">
        <x:v>Oversharing links</x:v>
      </x:c>
      <x:c r="F8" t="n">
        <x:v>3</x:v>
      </x:c>
      <x:c r="G8" t="n">
        <x:v>4</x:v>
      </x:c>
      <x:c r="H8" t="n">
        <x:f>F8*G8</x:f>
        <x:v>12</x:v>
      </x:c>
      <x:c r="I8" t="str">
        <x:f>IF(H8&lt;=4,"Low",IF(H8&lt;=9,"Medium",IF(H8&lt;=14,"High","Critical")))</x:f>
        <x:v>High</x:v>
      </x:c>
      <x:c r="J8" t="str">
        <x:v>Sharing restrictions</x:v>
      </x:c>
      <x:c r="K8" t="str">
        <x:v>DLP-style review and permissions</x:v>
      </x:c>
      <x:c r="L8" t="str">
        <x:v>Operations</x:v>
      </x:c>
      <x:c r="M8" t="str">
        <x:v>Open</x:v>
      </x:c>
    </x:row>
    <x:row r="9">
      <x:c r="A9" t="str">
        <x:v>R-08</x:v>
      </x:c>
      <x:c r="B9" t="str">
        <x:v>A-08</x:v>
      </x:c>
      <x:c r="C9" t="str">
        <x:v>Backup Files</x:v>
      </x:c>
      <x:c r="D9" t="str">
        <x:v>Data loss</x:v>
      </x:c>
      <x:c r="E9" t="str">
        <x:v>Failed or untested backup</x:v>
      </x:c>
      <x:c r="F9" t="n">
        <x:v>3</x:v>
      </x:c>
      <x:c r="G9" t="n">
        <x:v>5</x:v>
      </x:c>
      <x:c r="H9" t="n">
        <x:f>F9*G9</x:f>
        <x:v>15</x:v>
      </x:c>
      <x:c r="I9" t="str">
        <x:f>IF(H9&lt;=4,"Low",IF(H9&lt;=9,"Medium",IF(H9&lt;=14,"High","Critical")))</x:f>
        <x:v>Critical</x:v>
      </x:c>
      <x:c r="J9" t="str">
        <x:v>Scheduled backup jobs</x:v>
      </x:c>
      <x:c r="K9" t="str">
        <x:v>Recovery testing and monitoring</x:v>
      </x:c>
      <x:c r="L9" t="str">
        <x:v>IT Owner</x:v>
      </x:c>
      <x:c r="M9" t="str">
        <x:v>Open</x:v>
      </x:c>
    </x:row>
    <x:row r="10">
      <x:c r="A10" t="str">
        <x:v>R-09</x:v>
      </x:c>
      <x:c r="B10" t="str">
        <x:v>A-09</x:v>
      </x:c>
      <x:c r="C10" t="str">
        <x:v>Employee Records</x:v>
      </x:c>
      <x:c r="D10" t="str">
        <x:v>Unauthorized disclosure</x:v>
      </x:c>
      <x:c r="E10" t="str">
        <x:v>Misaddressed document</x:v>
      </x:c>
      <x:c r="F10" t="n">
        <x:v>2</x:v>
      </x:c>
      <x:c r="G10" t="n">
        <x:v>4</x:v>
      </x:c>
      <x:c r="H10" t="n">
        <x:f>F10*G10</x:f>
        <x:v>8</x:v>
      </x:c>
      <x:c r="I10" t="str">
        <x:f>IF(H10&lt;=4,"Low",IF(H10&lt;=9,"Medium",IF(H10&lt;=14,"High","Critical")))</x:f>
        <x:v>Medium</x:v>
      </x:c>
      <x:c r="J10" t="str">
        <x:v>Restricted folder access</x:v>
      </x:c>
      <x:c r="K10" t="str">
        <x:v>Data handling and approval</x:v>
      </x:c>
      <x:c r="L10" t="str">
        <x:v>CISO</x:v>
      </x:c>
      <x:c r="M10" t="str">
        <x:v>Open</x:v>
      </x:c>
    </x:row>
    <x:row r="11">
      <x:c r="A11" t="str">
        <x:v>R-10</x:v>
      </x:c>
      <x:c r="B11" t="str">
        <x:v>A-10</x:v>
      </x:c>
      <x:c r="C11" t="str">
        <x:v>System Logs</x:v>
      </x:c>
      <x:c r="D11" t="str">
        <x:v>Log manipulation</x:v>
      </x:c>
      <x:c r="E11" t="str">
        <x:v>Insufficient permissions</x:v>
      </x:c>
      <x:c r="F11" t="n">
        <x:v>2</x:v>
      </x:c>
      <x:c r="G11" t="n">
        <x:v>4</x:v>
      </x:c>
      <x:c r="H11" t="n">
        <x:f>F11*G11</x:f>
        <x:v>8</x:v>
      </x:c>
      <x:c r="I11" t="str">
        <x:f>IF(H11&lt;=4,"Low",IF(H11&lt;=9,"Medium",IF(H11&lt;=14,"High","Critical")))</x:f>
        <x:v>Medium</x:v>
      </x:c>
      <x:c r="J11" t="str">
        <x:v>Centralized logging</x:v>
      </x:c>
      <x:c r="K11" t="str">
        <x:v>Log access review and monitoring</x:v>
      </x:c>
      <x:c r="L11" t="str">
        <x:v>CTO</x:v>
      </x:c>
      <x:c r="M11" t="str">
        <x:v>Open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Asset ID</x:v>
      </x:c>
      <x:c r="B1" s="3" t="str">
        <x:v>Asset Name</x:v>
      </x:c>
      <x:c r="C1" s="3" t="str">
        <x:v>Asset Type</x:v>
      </x:c>
      <x:c r="D1" s="3" t="str">
        <x:v>Owner</x:v>
      </x:c>
      <x:c r="E1" s="3" t="str">
        <x:v>Location</x:v>
      </x:c>
      <x:c r="F1" s="3" t="str">
        <x:v>Information Stored</x:v>
      </x:c>
      <x:c r="G1" s="3" t="str">
        <x:v>Confidentiality</x:v>
      </x:c>
      <x:c r="H1" s="3" t="str">
        <x:v>Integrity</x:v>
      </x:c>
      <x:c r="I1" s="3" t="str">
        <x:v>Availability</x:v>
      </x:c>
      <x:c r="J1" s="3" t="str">
        <x:v>Classification</x:v>
      </x:c>
    </x:row>
    <x:row r="2">
      <x:c r="A2" t="str">
        <x:v>A-01</x:v>
      </x:c>
      <x:c r="B2" t="str">
        <x:v>Customer Database</x:v>
      </x:c>
      <x:c r="C2" t="str">
        <x:v>Data Store</x:v>
      </x:c>
      <x:c r="D2" t="str">
        <x:v>CISO</x:v>
      </x:c>
      <x:c r="E2" t="str">
        <x:v>Cloud environment</x:v>
      </x:c>
      <x:c r="F2" t="str">
        <x:v>Customer account and service data</x:v>
      </x:c>
      <x:c r="G2" t="n">
        <x:v>5</x:v>
      </x:c>
      <x:c r="H2" t="n">
        <x:v>5</x:v>
      </x:c>
      <x:c r="I2" t="n">
        <x:v>4</x:v>
      </x:c>
      <x:c r="J2" t="str">
        <x:v>Confidential</x:v>
      </x:c>
    </x:row>
    <x:row r="3">
      <x:c r="A3" t="str">
        <x:v>A-02</x:v>
      </x:c>
      <x:c r="B3" t="str">
        <x:v>Web Application</x:v>
      </x:c>
      <x:c r="C3" t="str">
        <x:v>Application</x:v>
      </x:c>
      <x:c r="D3" t="str">
        <x:v>CTO</x:v>
      </x:c>
      <x:c r="E3" t="str">
        <x:v>Cloud environment</x:v>
      </x:c>
      <x:c r="F3" t="str">
        <x:v>Application code and customer-facing functions</x:v>
      </x:c>
      <x:c r="G3" t="n">
        <x:v>4</x:v>
      </x:c>
      <x:c r="H3" t="n">
        <x:v>5</x:v>
      </x:c>
      <x:c r="I3" t="n">
        <x:v>5</x:v>
      </x:c>
      <x:c r="J3" t="str">
        <x:v>Internal</x:v>
      </x:c>
    </x:row>
    <x:row r="4">
      <x:c r="A4" t="str">
        <x:v>A-03</x:v>
      </x:c>
      <x:c r="B4" t="str">
        <x:v>Application Server</x:v>
      </x:c>
      <x:c r="C4" t="str">
        <x:v>Server</x:v>
      </x:c>
      <x:c r="D4" t="str">
        <x:v>CTO</x:v>
      </x:c>
      <x:c r="E4" t="str">
        <x:v>Cloud environment</x:v>
      </x:c>
      <x:c r="F4" t="str">
        <x:v>Runtime services and configuration</x:v>
      </x:c>
      <x:c r="G4" t="n">
        <x:v>4</x:v>
      </x:c>
      <x:c r="H4" t="n">
        <x:v>5</x:v>
      </x:c>
      <x:c r="I4" t="n">
        <x:v>5</x:v>
      </x:c>
      <x:c r="J4" t="str">
        <x:v>Internal</x:v>
      </x:c>
    </x:row>
    <x:row r="5">
      <x:c r="A5" t="str">
        <x:v>A-04</x:v>
      </x:c>
      <x:c r="B5" t="str">
        <x:v>Employee Laptops</x:v>
      </x:c>
      <x:c r="C5" t="str">
        <x:v>Endpoint</x:v>
      </x:c>
      <x:c r="D5" t="str">
        <x:v>IT Owner</x:v>
      </x:c>
      <x:c r="E5" t="str">
        <x:v>Remote/office</x:v>
      </x:c>
      <x:c r="F5" t="str">
        <x:v>Work files and credentials</x:v>
      </x:c>
      <x:c r="G5" t="n">
        <x:v>4</x:v>
      </x:c>
      <x:c r="H5" t="n">
        <x:v>4</x:v>
      </x:c>
      <x:c r="I5" t="n">
        <x:v>4</x:v>
      </x:c>
      <x:c r="J5" t="str">
        <x:v>Internal</x:v>
      </x:c>
    </x:row>
    <x:row r="6">
      <x:c r="A6" t="str">
        <x:v>A-05</x:v>
      </x:c>
      <x:c r="B6" t="str">
        <x:v>Corporate Email</x:v>
      </x:c>
      <x:c r="C6" t="str">
        <x:v>SaaS</x:v>
      </x:c>
      <x:c r="D6" t="str">
        <x:v>CISO</x:v>
      </x:c>
      <x:c r="E6" t="str">
        <x:v>Cloud service</x:v>
      </x:c>
      <x:c r="F6" t="str">
        <x:v>Business communications</x:v>
      </x:c>
      <x:c r="G6" t="n">
        <x:v>4</x:v>
      </x:c>
      <x:c r="H6" t="n">
        <x:v>4</x:v>
      </x:c>
      <x:c r="I6" t="n">
        <x:v>4</x:v>
      </x:c>
      <x:c r="J6" t="str">
        <x:v>Internal</x:v>
      </x:c>
    </x:row>
    <x:row r="7">
      <x:c r="A7" t="str">
        <x:v>A-06</x:v>
      </x:c>
      <x:c r="B7" t="str">
        <x:v>GitHub Repository</x:v>
      </x:c>
      <x:c r="C7" t="str">
        <x:v>Code Repository</x:v>
      </x:c>
      <x:c r="D7" t="str">
        <x:v>CTO</x:v>
      </x:c>
      <x:c r="E7" t="str">
        <x:v>Cloud service</x:v>
      </x:c>
      <x:c r="F7" t="str">
        <x:v>Source code and CI configuration</x:v>
      </x:c>
      <x:c r="G7" t="n">
        <x:v>4</x:v>
      </x:c>
      <x:c r="H7" t="n">
        <x:v>5</x:v>
      </x:c>
      <x:c r="I7" t="n">
        <x:v>4</x:v>
      </x:c>
      <x:c r="J7" t="str">
        <x:v>Confidential</x:v>
      </x:c>
    </x:row>
    <x:row r="8">
      <x:c r="A8" t="str">
        <x:v>A-07</x:v>
      </x:c>
      <x:c r="B8" t="str">
        <x:v>Cloud File Storage</x:v>
      </x:c>
      <x:c r="C8" t="str">
        <x:v>SaaS</x:v>
      </x:c>
      <x:c r="D8" t="str">
        <x:v>Operations</x:v>
      </x:c>
      <x:c r="E8" t="str">
        <x:v>Cloud service</x:v>
      </x:c>
      <x:c r="F8" t="str">
        <x:v>Project documents and exports</x:v>
      </x:c>
      <x:c r="G8" t="n">
        <x:v>4</x:v>
      </x:c>
      <x:c r="H8" t="n">
        <x:v>4</x:v>
      </x:c>
      <x:c r="I8" t="n">
        <x:v>4</x:v>
      </x:c>
      <x:c r="J8" t="str">
        <x:v>Internal</x:v>
      </x:c>
    </x:row>
    <x:row r="9">
      <x:c r="A9" t="str">
        <x:v>A-08</x:v>
      </x:c>
      <x:c r="B9" t="str">
        <x:v>Backup Files</x:v>
      </x:c>
      <x:c r="C9" t="str">
        <x:v>Backup</x:v>
      </x:c>
      <x:c r="D9" t="str">
        <x:v>IT Owner</x:v>
      </x:c>
      <x:c r="E9" t="str">
        <x:v>Cloud/offline storage</x:v>
      </x:c>
      <x:c r="F9" t="str">
        <x:v>System and database backups</x:v>
      </x:c>
      <x:c r="G9" t="n">
        <x:v>5</x:v>
      </x:c>
      <x:c r="H9" t="n">
        <x:v>5</x:v>
      </x:c>
      <x:c r="I9" t="n">
        <x:v>5</x:v>
      </x:c>
      <x:c r="J9" t="str">
        <x:v>Restricted</x:v>
      </x:c>
    </x:row>
    <x:row r="10">
      <x:c r="A10" t="str">
        <x:v>A-09</x:v>
      </x:c>
      <x:c r="B10" t="str">
        <x:v>Employee Records</x:v>
      </x:c>
      <x:c r="C10" t="str">
        <x:v>HR Data</x:v>
      </x:c>
      <x:c r="D10" t="str">
        <x:v>CISO</x:v>
      </x:c>
      <x:c r="E10" t="str">
        <x:v>Cloud file storage</x:v>
      </x:c>
      <x:c r="F10" t="str">
        <x:v>Employment and contact records</x:v>
      </x:c>
      <x:c r="G10" t="n">
        <x:v>5</x:v>
      </x:c>
      <x:c r="H10" t="n">
        <x:v>4</x:v>
      </x:c>
      <x:c r="I10" t="n">
        <x:v>3</x:v>
      </x:c>
      <x:c r="J10" t="str">
        <x:v>Restricted</x:v>
      </x:c>
    </x:row>
    <x:row r="11">
      <x:c r="A11" t="str">
        <x:v>A-10</x:v>
      </x:c>
      <x:c r="B11" t="str">
        <x:v>System Logs</x:v>
      </x:c>
      <x:c r="C11" t="str">
        <x:v>Log Data</x:v>
      </x:c>
      <x:c r="D11" t="str">
        <x:v>CTO</x:v>
      </x:c>
      <x:c r="E11" t="str">
        <x:v>Application/server environment</x:v>
      </x:c>
      <x:c r="F11" t="str">
        <x:v>Security and operational events</x:v>
      </x:c>
      <x:c r="G11" t="n">
        <x:v>3</x:v>
      </x:c>
      <x:c r="H11" t="n">
        <x:v>5</x:v>
      </x:c>
      <x:c r="I11" t="n">
        <x:v>4</x:v>
      </x:c>
      <x:c r="J11" t="str">
        <x:v>Internal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Treatment ID</x:v>
      </x:c>
      <x:c r="B1" s="3" t="str">
        <x:v>Risk ID</x:v>
      </x:c>
      <x:c r="C1" s="3" t="str">
        <x:v>Treatment Option</x:v>
      </x:c>
      <x:c r="D1" s="3" t="str">
        <x:v>Treatment Description</x:v>
      </x:c>
      <x:c r="E1" s="3" t="str">
        <x:v>Responsible Owner</x:v>
      </x:c>
      <x:c r="F1" s="3" t="str">
        <x:v>Target Date</x:v>
      </x:c>
      <x:c r="G1" s="3" t="str">
        <x:v>Status</x:v>
      </x:c>
      <x:c r="H1" s="3" t="str">
        <x:v>Residual Likelihood</x:v>
      </x:c>
      <x:c r="I1" s="3" t="str">
        <x:v>Residual Impact</x:v>
      </x:c>
      <x:c r="J1" s="3" t="str">
        <x:v>Residual Score</x:v>
      </x:c>
      <x:c r="K1" s="3" t="str">
        <x:v>Residual Risk Level</x:v>
      </x:c>
    </x:row>
    <x:row r="2">
      <x:c r="A2" t="str">
        <x:v>T-01</x:v>
      </x:c>
      <x:c r="B2" t="str">
        <x:v>R-01</x:v>
      </x:c>
      <x:c r="C2" t="str">
        <x:v>Reduce</x:v>
      </x:c>
      <x:c r="D2" t="str">
        <x:v>Implement documented preventive and detective safeguards.</x:v>
      </x:c>
      <x:c r="E2" t="str">
        <x:v>CISO</x:v>
      </x:c>
      <x:c r="F2" t="str">
        <x:v>2026-12-11</x:v>
      </x:c>
      <x:c r="G2" t="str">
        <x:v>Planned</x:v>
      </x:c>
      <x:c r="H2" t="n">
        <x:v>3</x:v>
      </x:c>
      <x:c r="I2" t="n">
        <x:v>4</x:v>
      </x:c>
      <x:c r="J2" t="n">
        <x:f>H2*I2</x:f>
        <x:v>12</x:v>
      </x:c>
      <x:c r="K2" t="str">
        <x:f>IF(J2&lt;=4,"Low",IF(J2&lt;=9,"Medium",IF(J2&lt;=14,"High","Critical")))</x:f>
        <x:v>High</x:v>
      </x:c>
    </x:row>
    <x:row r="3">
      <x:c r="A3" t="str">
        <x:v>T-02</x:v>
      </x:c>
      <x:c r="B3" t="str">
        <x:v>R-02</x:v>
      </x:c>
      <x:c r="C3" t="str">
        <x:v>Reduce</x:v>
      </x:c>
      <x:c r="D3" t="str">
        <x:v>Implement documented preventive and detective safeguards.</x:v>
      </x:c>
      <x:c r="E3" t="str">
        <x:v>CISO</x:v>
      </x:c>
      <x:c r="F3" t="str">
        <x:v>2026-12-12</x:v>
      </x:c>
      <x:c r="G3" t="str">
        <x:v>Planned</x:v>
      </x:c>
      <x:c r="H3" t="n">
        <x:v>3</x:v>
      </x:c>
      <x:c r="I3" t="n">
        <x:v>3</x:v>
      </x:c>
      <x:c r="J3" t="n">
        <x:f>H3*I3</x:f>
        <x:v>9</x:v>
      </x:c>
      <x:c r="K3" t="str">
        <x:f>IF(J3&lt;=4,"Low",IF(J3&lt;=9,"Medium",IF(J3&lt;=14,"High","Critical")))</x:f>
        <x:v>Medium</x:v>
      </x:c>
    </x:row>
    <x:row r="4">
      <x:c r="A4" t="str">
        <x:v>T-03</x:v>
      </x:c>
      <x:c r="B4" t="str">
        <x:v>R-03</x:v>
      </x:c>
      <x:c r="C4" t="str">
        <x:v>Reduce</x:v>
      </x:c>
      <x:c r="D4" t="str">
        <x:v>Implement documented preventive and detective safeguards.</x:v>
      </x:c>
      <x:c r="E4" t="str">
        <x:v>IT Owner</x:v>
      </x:c>
      <x:c r="F4" t="str">
        <x:v>2026-12-13</x:v>
      </x:c>
      <x:c r="G4" t="str">
        <x:v>Planned</x:v>
      </x:c>
      <x:c r="H4" t="n">
        <x:v>2</x:v>
      </x:c>
      <x:c r="I4" t="n">
        <x:v>3</x:v>
      </x:c>
      <x:c r="J4" t="n">
        <x:f>H4*I4</x:f>
        <x:v>6</x:v>
      </x:c>
      <x:c r="K4" t="str">
        <x:f>IF(J4&lt;=4,"Low",IF(J4&lt;=9,"Medium",IF(J4&lt;=14,"High","Critical")))</x:f>
        <x:v>Medium</x:v>
      </x:c>
    </x:row>
    <x:row r="5">
      <x:c r="A5" t="str">
        <x:v>T-04</x:v>
      </x:c>
      <x:c r="B5" t="str">
        <x:v>R-04</x:v>
      </x:c>
      <x:c r="C5" t="str">
        <x:v>Reduce</x:v>
      </x:c>
      <x:c r="D5" t="str">
        <x:v>Implement documented preventive and detective safeguards.</x:v>
      </x:c>
      <x:c r="E5" t="str">
        <x:v>IT Owner</x:v>
      </x:c>
      <x:c r="F5" t="str">
        <x:v>2026-12-14</x:v>
      </x:c>
      <x:c r="G5" t="str">
        <x:v>Planned</x:v>
      </x:c>
      <x:c r="H5" t="n">
        <x:v>2</x:v>
      </x:c>
      <x:c r="I5" t="n">
        <x:v>3</x:v>
      </x:c>
      <x:c r="J5" t="n">
        <x:f>H5*I5</x:f>
        <x:v>6</x:v>
      </x:c>
      <x:c r="K5" t="str">
        <x:f>IF(J5&lt;=4,"Low",IF(J5&lt;=9,"Medium",IF(J5&lt;=14,"High","Critical")))</x:f>
        <x:v>Medium</x:v>
      </x:c>
    </x:row>
    <x:row r="6">
      <x:c r="A6" t="str">
        <x:v>T-05</x:v>
      </x:c>
      <x:c r="B6" t="str">
        <x:v>R-05</x:v>
      </x:c>
      <x:c r="C6" t="str">
        <x:v>Reduce</x:v>
      </x:c>
      <x:c r="D6" t="str">
        <x:v>Implement documented preventive and detective safeguards.</x:v>
      </x:c>
      <x:c r="E6" t="str">
        <x:v>CISO</x:v>
      </x:c>
      <x:c r="F6" t="str">
        <x:v>2026-12-15</x:v>
      </x:c>
      <x:c r="G6" t="str">
        <x:v>Planned</x:v>
      </x:c>
      <x:c r="H6" t="n">
        <x:v>3</x:v>
      </x:c>
      <x:c r="I6" t="n">
        <x:v>3</x:v>
      </x:c>
      <x:c r="J6" t="n">
        <x:f>H6*I6</x:f>
        <x:v>9</x:v>
      </x:c>
      <x:c r="K6" t="str">
        <x:f>IF(J6&lt;=4,"Low",IF(J6&lt;=9,"Medium",IF(J6&lt;=14,"High","Critical")))</x:f>
        <x:v>Medium</x:v>
      </x:c>
    </x:row>
    <x:row r="7">
      <x:c r="A7" t="str">
        <x:v>T-06</x:v>
      </x:c>
      <x:c r="B7" t="str">
        <x:v>R-06</x:v>
      </x:c>
      <x:c r="C7" t="str">
        <x:v>Reduce</x:v>
      </x:c>
      <x:c r="D7" t="str">
        <x:v>Implement documented preventive and detective safeguards.</x:v>
      </x:c>
      <x:c r="E7" t="str">
        <x:v>CTO</x:v>
      </x:c>
      <x:c r="F7" t="str">
        <x:v>2026-12-16</x:v>
      </x:c>
      <x:c r="G7" t="str">
        <x:v>Planned</x:v>
      </x:c>
      <x:c r="H7" t="n">
        <x:v>2</x:v>
      </x:c>
      <x:c r="I7" t="n">
        <x:v>4</x:v>
      </x:c>
      <x:c r="J7" t="n">
        <x:f>H7*I7</x:f>
        <x:v>8</x:v>
      </x:c>
      <x:c r="K7" t="str">
        <x:f>IF(J7&lt;=4,"Low",IF(J7&lt;=9,"Medium",IF(J7&lt;=14,"High","Critical")))</x:f>
        <x:v>Medium</x:v>
      </x:c>
    </x:row>
    <x:row r="8">
      <x:c r="A8" t="str">
        <x:v>T-07</x:v>
      </x:c>
      <x:c r="B8" t="str">
        <x:v>R-07</x:v>
      </x:c>
      <x:c r="C8" t="str">
        <x:v>Reduce</x:v>
      </x:c>
      <x:c r="D8" t="str">
        <x:v>Implement documented preventive and detective safeguards.</x:v>
      </x:c>
      <x:c r="E8" t="str">
        <x:v>Operations</x:v>
      </x:c>
      <x:c r="F8" t="str">
        <x:v>2026-12-17</x:v>
      </x:c>
      <x:c r="G8" t="str">
        <x:v>Planned</x:v>
      </x:c>
      <x:c r="H8" t="n">
        <x:v>2</x:v>
      </x:c>
      <x:c r="I8" t="n">
        <x:v>3</x:v>
      </x:c>
      <x:c r="J8" t="n">
        <x:f>H8*I8</x:f>
        <x:v>6</x:v>
      </x:c>
      <x:c r="K8" t="str">
        <x:f>IF(J8&lt;=4,"Low",IF(J8&lt;=9,"Medium",IF(J8&lt;=14,"High","Critical")))</x:f>
        <x:v>Medium</x:v>
      </x:c>
    </x:row>
    <x:row r="9">
      <x:c r="A9" t="str">
        <x:v>T-08</x:v>
      </x:c>
      <x:c r="B9" t="str">
        <x:v>R-08</x:v>
      </x:c>
      <x:c r="C9" t="str">
        <x:v>Reduce</x:v>
      </x:c>
      <x:c r="D9" t="str">
        <x:v>Implement documented preventive and detective safeguards.</x:v>
      </x:c>
      <x:c r="E9" t="str">
        <x:v>IT Owner</x:v>
      </x:c>
      <x:c r="F9" t="str">
        <x:v>2026-12-18</x:v>
      </x:c>
      <x:c r="G9" t="str">
        <x:v>Planned</x:v>
      </x:c>
      <x:c r="H9" t="n">
        <x:v>2</x:v>
      </x:c>
      <x:c r="I9" t="n">
        <x:v>4</x:v>
      </x:c>
      <x:c r="J9" t="n">
        <x:f>H9*I9</x:f>
        <x:v>8</x:v>
      </x:c>
      <x:c r="K9" t="str">
        <x:f>IF(J9&lt;=4,"Low",IF(J9&lt;=9,"Medium",IF(J9&lt;=14,"High","Critical")))</x:f>
        <x:v>Medium</x:v>
      </x:c>
    </x:row>
    <x:row r="10">
      <x:c r="A10" t="str">
        <x:v>T-09</x:v>
      </x:c>
      <x:c r="B10" t="str">
        <x:v>R-09</x:v>
      </x:c>
      <x:c r="C10" t="str">
        <x:v>Reduce</x:v>
      </x:c>
      <x:c r="D10" t="str">
        <x:v>Implement documented preventive and detective safeguards.</x:v>
      </x:c>
      <x:c r="E10" t="str">
        <x:v>CISO</x:v>
      </x:c>
      <x:c r="F10" t="str">
        <x:v>2026-12-19</x:v>
      </x:c>
      <x:c r="G10" t="str">
        <x:v>Planned</x:v>
      </x:c>
      <x:c r="H10" t="n">
        <x:v>1</x:v>
      </x:c>
      <x:c r="I10" t="n">
        <x:v>3</x:v>
      </x:c>
      <x:c r="J10" t="n">
        <x:f>H10*I10</x:f>
        <x:v>3</x:v>
      </x:c>
      <x:c r="K10" t="str">
        <x:f>IF(J10&lt;=4,"Low",IF(J10&lt;=9,"Medium",IF(J10&lt;=14,"High","Critical")))</x:f>
        <x:v>Low</x:v>
      </x:c>
    </x:row>
    <x:row r="11">
      <x:c r="A11" t="str">
        <x:v>T-10</x:v>
      </x:c>
      <x:c r="B11" t="str">
        <x:v>R-10</x:v>
      </x:c>
      <x:c r="C11" t="str">
        <x:v>Reduce</x:v>
      </x:c>
      <x:c r="D11" t="str">
        <x:v>Implement documented preventive and detective safeguards.</x:v>
      </x:c>
      <x:c r="E11" t="str">
        <x:v>CTO</x:v>
      </x:c>
      <x:c r="F11" t="str">
        <x:v>2026-12-20</x:v>
      </x:c>
      <x:c r="G11" t="str">
        <x:v>Planned</x:v>
      </x:c>
      <x:c r="H11" t="n">
        <x:v>1</x:v>
      </x:c>
      <x:c r="I11" t="n">
        <x:v>3</x:v>
      </x:c>
      <x:c r="J11" t="n">
        <x:f>H11*I11</x:f>
        <x:v>3</x:v>
      </x:c>
      <x:c r="K11" t="str">
        <x:f>IF(J11&lt;=4,"Low",IF(J11&lt;=9,"Medium",IF(J11&lt;=14,"High","Critical")))</x:f>
        <x:v>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Control ID</x:v>
      </x:c>
      <x:c r="B1" s="3" t="str">
        <x:v>Control Name</x:v>
      </x:c>
      <x:c r="C1" s="3" t="str">
        <x:v>Applicable</x:v>
      </x:c>
      <x:c r="D1" s="3" t="str">
        <x:v>Justification</x:v>
      </x:c>
      <x:c r="E1" s="3" t="str">
        <x:v>Implementation Status</x:v>
      </x:c>
      <x:c r="F1" s="3" t="str">
        <x:v>Responsible Owner</x:v>
      </x:c>
      <x:c r="G1" s="3" t="str">
        <x:v>Evidence Expected</x:v>
      </x:c>
      <x:c r="H1" s="3" t="str">
        <x:v>Related Risk ID</x:v>
      </x:c>
    </x:row>
    <x:row r="2">
      <x:c r="A2" t="str">
        <x:v>A.5.15</x:v>
      </x:c>
      <x:c r="B2" t="str">
        <x:v>Access Control</x:v>
      </x:c>
      <x:c r="C2" t="str">
        <x:v>Yes</x:v>
      </x:c>
      <x:c r="D2" t="str">
        <x:v>Relevant to users and systems</x:v>
      </x:c>
      <x:c r="E2" t="str">
        <x:v>Documentation Only</x:v>
      </x:c>
      <x:c r="F2" t="str">
        <x:v>CISO</x:v>
      </x:c>
      <x:c r="G2" t="str">
        <x:v>Access review record</x:v>
      </x:c>
      <x:c r="H2" t="str">
        <x:v>R-01</x:v>
      </x:c>
    </x:row>
    <x:row r="3">
      <x:c r="A3" t="str">
        <x:v>A.5.16</x:v>
      </x:c>
      <x:c r="B3" t="str">
        <x:v>Identity Management</x:v>
      </x:c>
      <x:c r="C3" t="str">
        <x:v>Yes</x:v>
      </x:c>
      <x:c r="D3" t="str">
        <x:v>Relevant to workforce lifecycle</x:v>
      </x:c>
      <x:c r="E3" t="str">
        <x:v>Planned</x:v>
      </x:c>
      <x:c r="F3" t="str">
        <x:v>CISO</x:v>
      </x:c>
      <x:c r="G3" t="str">
        <x:v>Joiner/mover/leaver record</x:v>
      </x:c>
      <x:c r="H3" t="str">
        <x:v>R-02</x:v>
      </x:c>
    </x:row>
    <x:row r="4">
      <x:c r="A4" t="str">
        <x:v>A.5.17</x:v>
      </x:c>
      <x:c r="B4" t="str">
        <x:v>Authentication Information</x:v>
      </x:c>
      <x:c r="C4" t="str">
        <x:v>Yes</x:v>
      </x:c>
      <x:c r="D4" t="str">
        <x:v>Protect authentication data</x:v>
      </x:c>
      <x:c r="E4" t="str">
        <x:v>Evidence Pending</x:v>
      </x:c>
      <x:c r="F4" t="str">
        <x:v>IT Owner</x:v>
      </x:c>
      <x:c r="G4" t="str">
        <x:v>Authentication standard</x:v>
      </x:c>
      <x:c r="H4" t="str">
        <x:v>R-02</x:v>
      </x:c>
    </x:row>
    <x:row r="5">
      <x:c r="A5" t="str">
        <x:v>A.5.18</x:v>
      </x:c>
      <x:c r="B5" t="str">
        <x:v>Access Rights</x:v>
      </x:c>
      <x:c r="C5" t="str">
        <x:v>Yes</x:v>
      </x:c>
      <x:c r="D5" t="str">
        <x:v>Reduce excessive access</x:v>
      </x:c>
      <x:c r="E5" t="str">
        <x:v>Partially Implemented</x:v>
      </x:c>
      <x:c r="F5" t="str">
        <x:v>CISO</x:v>
      </x:c>
      <x:c r="G5" t="str">
        <x:v>Access approval and review</x:v>
      </x:c>
      <x:c r="H5" t="str">
        <x:v>R-01</x:v>
      </x:c>
    </x:row>
    <x:row r="6">
      <x:c r="A6" t="str">
        <x:v>A.5.23</x:v>
      </x:c>
      <x:c r="B6" t="str">
        <x:v>Cloud Services Security</x:v>
      </x:c>
      <x:c r="C6" t="str">
        <x:v>Yes</x:v>
      </x:c>
      <x:c r="D6" t="str">
        <x:v>Cloud services are in scope</x:v>
      </x:c>
      <x:c r="E6" t="str">
        <x:v>Planned</x:v>
      </x:c>
      <x:c r="F6" t="str">
        <x:v>Operations</x:v>
      </x:c>
      <x:c r="G6" t="str">
        <x:v>Provider assessment</x:v>
      </x:c>
      <x:c r="H6" t="str">
        <x:v>R-07</x:v>
      </x:c>
    </x:row>
    <x:row r="7">
      <x:c r="A7" t="str">
        <x:v>A.5.24</x:v>
      </x:c>
      <x:c r="B7" t="str">
        <x:v>Incident Management Planning</x:v>
      </x:c>
      <x:c r="C7" t="str">
        <x:v>Yes</x:v>
      </x:c>
      <x:c r="D7" t="str">
        <x:v>Prepare for incidents</x:v>
      </x:c>
      <x:c r="E7" t="str">
        <x:v>Documentation Only</x:v>
      </x:c>
      <x:c r="F7" t="str">
        <x:v>CISO</x:v>
      </x:c>
      <x:c r="G7" t="str">
        <x:v>Incident plan and exercise note</x:v>
      </x:c>
      <x:c r="H7" t="str">
        <x:v>R-05</x:v>
      </x:c>
    </x:row>
    <x:row r="8">
      <x:c r="A8" t="str">
        <x:v>A.5.30</x:v>
      </x:c>
      <x:c r="B8" t="str">
        <x:v>ICT Readiness for Business Continuity</x:v>
      </x:c>
      <x:c r="C8" t="str">
        <x:v>Yes</x:v>
      </x:c>
      <x:c r="D8" t="str">
        <x:v>Support recovery objectives</x:v>
      </x:c>
      <x:c r="E8" t="str">
        <x:v>Planned</x:v>
      </x:c>
      <x:c r="F8" t="str">
        <x:v>IT Owner</x:v>
      </x:c>
      <x:c r="G8" t="str">
        <x:v>Recovery test plan</x:v>
      </x:c>
      <x:c r="H8" t="str">
        <x:v>R-08</x:v>
      </x:c>
    </x:row>
    <x:row r="9">
      <x:c r="A9" t="str">
        <x:v>A.6.3</x:v>
      </x:c>
      <x:c r="B9" t="str">
        <x:v>Information Security Awareness</x:v>
      </x:c>
      <x:c r="C9" t="str">
        <x:v>Yes</x:v>
      </x:c>
      <x:c r="D9" t="str">
        <x:v>Address phishing and human risk</x:v>
      </x:c>
      <x:c r="E9" t="str">
        <x:v>Evidence Pending</x:v>
      </x:c>
      <x:c r="F9" t="str">
        <x:v>CISO</x:v>
      </x:c>
      <x:c r="G9" t="str">
        <x:v>Training attendance record</x:v>
      </x:c>
      <x:c r="H9" t="str">
        <x:v>R-05</x:v>
      </x:c>
    </x:row>
    <x:row r="10">
      <x:c r="A10" t="str">
        <x:v>A.8.8</x:v>
      </x:c>
      <x:c r="B10" t="str">
        <x:v>Management of Technical Vulnerabilities</x:v>
      </x:c>
      <x:c r="C10" t="str">
        <x:v>Yes</x:v>
      </x:c>
      <x:c r="D10" t="str">
        <x:v>Manage patch risk</x:v>
      </x:c>
      <x:c r="E10" t="str">
        <x:v>Planned</x:v>
      </x:c>
      <x:c r="F10" t="str">
        <x:v>CTO</x:v>
      </x:c>
      <x:c r="G10" t="str">
        <x:v>Vulnerability register</x:v>
      </x:c>
      <x:c r="H10" t="str">
        <x:v>R-03</x:v>
      </x:c>
    </x:row>
    <x:row r="11">
      <x:c r="A11" t="str">
        <x:v>A.8.13</x:v>
      </x:c>
      <x:c r="B11" t="str">
        <x:v>Information Backup</x:v>
      </x:c>
      <x:c r="C11" t="str">
        <x:v>Yes</x:v>
      </x:c>
      <x:c r="D11" t="str">
        <x:v>Protect recoverability</x:v>
      </x:c>
      <x:c r="E11" t="str">
        <x:v>Partially Implemented</x:v>
      </x:c>
      <x:c r="F11" t="str">
        <x:v>IT Owner</x:v>
      </x:c>
      <x:c r="G11" t="str">
        <x:v>Backup and restore test</x:v>
      </x:c>
      <x:c r="H11" t="str">
        <x:v>R-08</x:v>
      </x:c>
    </x:row>
    <x:row r="12">
      <x:c r="A12" t="str">
        <x:v>A.8.15</x:v>
      </x:c>
      <x:c r="B12" t="str">
        <x:v>Logging</x:v>
      </x:c>
      <x:c r="C12" t="str">
        <x:v>Yes</x:v>
      </x:c>
      <x:c r="D12" t="str">
        <x:v>Support accountability</x:v>
      </x:c>
      <x:c r="E12" t="str">
        <x:v>Documentation Only</x:v>
      </x:c>
      <x:c r="F12" t="str">
        <x:v>CTO</x:v>
      </x:c>
      <x:c r="G12" t="str">
        <x:v>Log configuration record</x:v>
      </x:c>
      <x:c r="H12" t="str">
        <x:v>R-10</x:v>
      </x:c>
    </x:row>
    <x:row r="13">
      <x:c r="A13" t="str">
        <x:v>A.8.16</x:v>
      </x:c>
      <x:c r="B13" t="str">
        <x:v>Monitoring Activities</x:v>
      </x:c>
      <x:c r="C13" t="str">
        <x:v>Yes</x:v>
      </x:c>
      <x:c r="D13" t="str">
        <x:v>Detect suspicious activity</x:v>
      </x:c>
      <x:c r="E13" t="str">
        <x:v>Planned</x:v>
      </x:c>
      <x:c r="F13" t="str">
        <x:v>CTO</x:v>
      </x:c>
      <x:c r="G13" t="str">
        <x:v>Monitoring review record</x:v>
      </x:c>
      <x:c r="H13" t="str">
        <x:v>R-10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CAPA ID</x:v>
      </x:c>
      <x:c r="B1" s="3" t="str">
        <x:v>Finding ID</x:v>
      </x:c>
      <x:c r="C1" s="3" t="str">
        <x:v>Finding Description</x:v>
      </x:c>
      <x:c r="D1" s="3" t="str">
        <x:v>Related Risk ID</x:v>
      </x:c>
      <x:c r="E1" s="3" t="str">
        <x:v>Root Cause</x:v>
      </x:c>
      <x:c r="F1" s="3" t="str">
        <x:v>Corrective Action</x:v>
      </x:c>
      <x:c r="G1" s="3" t="str">
        <x:v>Preventive Action</x:v>
      </x:c>
      <x:c r="H1" s="3" t="str">
        <x:v>Responsible Owner</x:v>
      </x:c>
      <x:c r="I1" s="3" t="str">
        <x:v>Due Date</x:v>
      </x:c>
      <x:c r="J1" s="3" t="str">
        <x:v>Status</x:v>
      </x:c>
      <x:c r="K1" s="3" t="str">
        <x:v>Closure Evidence</x:v>
      </x:c>
    </x:row>
    <x:row r="2">
      <x:c r="A2" t="str">
        <x:v>C-01</x:v>
      </x:c>
      <x:c r="B2" t="str">
        <x:v>F-01</x:v>
      </x:c>
      <x:c r="C2" t="str">
        <x:v>Access review evidence not yet consistently retained</x:v>
      </x:c>
      <x:c r="D2" t="str">
        <x:v>R-01</x:v>
      </x:c>
      <x:c r="E2" t="str">
        <x:v>No single evidence owner</x:v>
      </x:c>
      <x:c r="F2" t="str">
        <x:v>Define quarterly access review record</x:v>
      </x:c>
      <x:c r="G2" t="str">
        <x:v>Assign evidence owner and calendar</x:v>
      </x:c>
      <x:c r="H2" t="str">
        <x:v>CISO</x:v>
      </x:c>
      <x:c r="I2" t="str">
        <x:v>2026-10-15</x:v>
      </x:c>
      <x:c r="J2" t="str">
        <x:v>Open</x:v>
      </x:c>
      <x:c r="K2" t="str">
        <x:v>Evidence template only</x:v>
      </x:c>
    </x:row>
    <x:row r="3">
      <x:c r="A3" t="str">
        <x:v>C-02</x:v>
      </x:c>
      <x:c r="B3" t="str">
        <x:v>F-02</x:v>
      </x:c>
      <x:c r="C3" t="str">
        <x:v>Recovery test has not been evidenced</x:v>
      </x:c>
      <x:c r="D3" t="str">
        <x:v>R-08</x:v>
      </x:c>
      <x:c r="E3" t="str">
        <x:v>Testing cadence not defined</x:v>
      </x:c>
      <x:c r="F3" t="str">
        <x:v>Schedule a restore test</x:v>
      </x:c>
      <x:c r="G3" t="str">
        <x:v>Review results and repeat quarterly</x:v>
      </x:c>
      <x:c r="H3" t="str">
        <x:v>IT Owner</x:v>
      </x:c>
      <x:c r="I3" t="str">
        <x:v>2026-11-15</x:v>
      </x:c>
      <x:c r="J3" t="str">
        <x:v>Open</x:v>
      </x:c>
      <x:c r="K3" t="str">
        <x:v>Planned test record</x:v>
      </x:c>
    </x:row>
    <x:row r="4">
      <x:c r="A4" t="str">
        <x:v>C-03</x:v>
      </x:c>
      <x:c r="B4" t="str">
        <x:v>F-03</x:v>
      </x:c>
      <x:c r="C4" t="str">
        <x:v>Awareness exercise is not yet completed</x:v>
      </x:c>
      <x:c r="D4" t="str">
        <x:v>R-05</x:v>
      </x:c>
      <x:c r="E4" t="str">
        <x:v>Training cycle is informal</x:v>
      </x:c>
      <x:c r="F4" t="str">
        <x:v>Create phishing awareness session</x:v>
      </x:c>
      <x:c r="G4" t="str">
        <x:v>Track attendance and follow-up</x:v>
      </x:c>
      <x:c r="H4" t="str">
        <x:v>CISO</x:v>
      </x:c>
      <x:c r="I4" t="str">
        <x:v>2026-10-30</x:v>
      </x:c>
      <x:c r="J4" t="str">
        <x:v>Open</x:v>
      </x:c>
      <x:c r="K4" t="str">
        <x:v>Training outline only</x:v>
      </x:c>
    </x:row>
    <x:row r="5">
      <x:c r="A5" t="str">
        <x:v>C-04</x:v>
      </x:c>
      <x:c r="B5" t="str">
        <x:v>F-04</x:v>
      </x:c>
      <x:c r="C5" t="str">
        <x:v>Log monitoring responsibility is unclear</x:v>
      </x:c>
      <x:c r="D5" t="str">
        <x:v>R-10</x:v>
      </x:c>
      <x:c r="E5" t="str">
        <x:v>Ownership not documented</x:v>
      </x:c>
      <x:c r="F5" t="str">
        <x:v>Define monitoring review procedure</x:v>
      </x:c>
      <x:c r="G5" t="str">
        <x:v>Add monthly review and escalation</x:v>
      </x:c>
      <x:c r="H5" t="str">
        <x:v>CTO</x:v>
      </x:c>
      <x:c r="I5" t="str">
        <x:v>2026-11-30</x:v>
      </x:c>
      <x:c r="J5" t="str">
        <x:v>Open</x:v>
      </x:c>
      <x:c r="K5" t="str">
        <x:v>Procedure draft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6" t="str">
        <x:v>Aviation Data ID</x:v>
      </x:c>
      <x:c r="B1" s="6" t="str">
        <x:v>Data Type</x:v>
      </x:c>
      <x:c r="C1" s="6" t="str">
        <x:v>Data Owner</x:v>
      </x:c>
      <x:c r="D1" s="6" t="str">
        <x:v>Source System</x:v>
      </x:c>
      <x:c r="E1" s="6" t="str">
        <x:v>Responsible Department</x:v>
      </x:c>
      <x:c r="F1" s="6" t="str">
        <x:v>Destination</x:v>
      </x:c>
      <x:c r="G1" s="6" t="str">
        <x:v>Data Format</x:v>
      </x:c>
      <x:c r="H1" s="6" t="str">
        <x:v>Data Flow</x:v>
      </x:c>
      <x:c r="I1" s="6" t="str">
        <x:v>Reporting Frequency</x:v>
      </x:c>
      <x:c r="J1" s="6" t="str">
        <x:v>Data Quality Criteria</x:v>
      </x:c>
      <x:c r="K1" s="6" t="str">
        <x:v>Regulatory Relevance</x:v>
      </x:c>
      <x:c r="L1" s="6" t="str">
        <x:v>Status</x:v>
      </x:c>
    </x:row>
    <x:row r="2">
      <x:c r="A2" t="str">
        <x:v>AVI-01</x:v>
      </x:c>
      <x:c r="B2" t="str">
        <x:v>Flight Data</x:v>
      </x:c>
      <x:c r="C2" t="str">
        <x:v>Operations Manager</x:v>
      </x:c>
      <x:c r="D2" t="str">
        <x:v>Flight Operations System</x:v>
      </x:c>
      <x:c r="E2" t="str">
        <x:v>Operations</x:v>
      </x:c>
      <x:c r="F2" t="str">
        <x:v>Regulatory reporting workspace</x:v>
      </x:c>
      <x:c r="G2" t="str">
        <x:v>JSON/API</x:v>
      </x:c>
      <x:c r="H2" t="str">
        <x:v>Source system → validation → API/SFTP submission</x:v>
      </x:c>
      <x:c r="I2" t="str">
        <x:v>Daily</x:v>
      </x:c>
      <x:c r="J2" t="str">
        <x:v>Accuracy; Completeness; Consistency; Timeliness; Traceability</x:v>
      </x:c>
      <x:c r="K2" t="str">
        <x:v>Basic awareness: SHGM/EASA/ICAO context varies by obligation</x:v>
      </x:c>
      <x:c r="L2" t="str">
        <x:v>Planned</x:v>
      </x:c>
    </x:row>
    <x:row r="3">
      <x:c r="A3" t="str">
        <x:v>AVI-02</x:v>
      </x:c>
      <x:c r="B3" t="str">
        <x:v>Passenger Data</x:v>
      </x:c>
      <x:c r="C3" t="str">
        <x:v>Data Protection Owner</x:v>
      </x:c>
      <x:c r="D3" t="str">
        <x:v>DCS</x:v>
      </x:c>
      <x:c r="E3" t="str">
        <x:v>Passenger Services</x:v>
      </x:c>
      <x:c r="F3" t="str">
        <x:v>Internal reporting and approved submission</x:v>
      </x:c>
      <x:c r="G3" t="str">
        <x:v>CSV/SFTP</x:v>
      </x:c>
      <x:c r="H3" t="str">
        <x:v>DCS → reconciliation → controlled file transfer</x:v>
      </x:c>
      <x:c r="I3" t="str">
        <x:v>Per flight / daily</x:v>
      </x:c>
      <x:c r="J3" t="str">
        <x:v>Accuracy; Completeness; Consistency; Timeliness; Traceability</x:v>
      </x:c>
      <x:c r="K3" t="str">
        <x:v>Basic awareness: privacy and operational reporting context</x:v>
      </x:c>
      <x:c r="L3" t="str">
        <x:v>Documentation Only</x:v>
      </x:c>
    </x:row>
    <x:row r="4">
      <x:c r="A4" t="str">
        <x:v>AVI-03</x:v>
      </x:c>
      <x:c r="B4" t="str">
        <x:v>Aircraft Data</x:v>
      </x:c>
      <x:c r="C4" t="str">
        <x:v>Fleet Data Owner</x:v>
      </x:c>
      <x:c r="D4" t="str">
        <x:v>Fleet Management System</x:v>
      </x:c>
      <x:c r="E4" t="str">
        <x:v>Fleet Management</x:v>
      </x:c>
      <x:c r="F4" t="str">
        <x:v>Operations dashboard</x:v>
      </x:c>
      <x:c r="G4" t="str">
        <x:v>XML/API</x:v>
      </x:c>
      <x:c r="H4" t="str">
        <x:v>Fleet system → XML mapping → dashboard</x:v>
      </x:c>
      <x:c r="I4" t="str">
        <x:v>Daily</x:v>
      </x:c>
      <x:c r="J4" t="str">
        <x:v>Accuracy; Completeness; Consistency; Traceability</x:v>
      </x:c>
      <x:c r="K4" t="str">
        <x:v>Basic awareness: aircraft identity and operational records</x:v>
      </x:c>
      <x:c r="L4" t="str">
        <x:v>Partially Implemented</x:v>
      </x:c>
    </x:row>
    <x:row r="5">
      <x:c r="A5" t="str">
        <x:v>AVI-04</x:v>
      </x:c>
      <x:c r="B5" t="str">
        <x:v>Crew Data</x:v>
      </x:c>
      <x:c r="C5" t="str">
        <x:v>Crew Planning Owner</x:v>
      </x:c>
      <x:c r="D5" t="str">
        <x:v>Crew Management System</x:v>
      </x:c>
      <x:c r="E5" t="str">
        <x:v>Crew Planning</x:v>
      </x:c>
      <x:c r="F5" t="str">
        <x:v>Operations and compliance workspace</x:v>
      </x:c>
      <x:c r="G5" t="str">
        <x:v>CSV/API</x:v>
      </x:c>
      <x:c r="H5" t="str">
        <x:v>Crew system → validation → internal destination</x:v>
      </x:c>
      <x:c r="I5" t="str">
        <x:v>Daily</x:v>
      </x:c>
      <x:c r="J5" t="str">
        <x:v>Accuracy; Completeness; Timeliness; Traceability</x:v>
      </x:c>
      <x:c r="K5" t="str">
        <x:v>Basic awareness: crew and operational data context</x:v>
      </x:c>
      <x:c r="L5" t="str">
        <x:v>Planned</x:v>
      </x:c>
    </x:row>
    <x:row r="6">
      <x:c r="A6" t="str">
        <x:v>AVI-05</x:v>
      </x:c>
      <x:c r="B6" t="str">
        <x:v>Maintenance Data</x:v>
      </x:c>
      <x:c r="C6" t="str">
        <x:v>Maintenance Manager</x:v>
      </x:c>
      <x:c r="D6" t="str">
        <x:v>Maintenance Information System</x:v>
      </x:c>
      <x:c r="E6" t="str">
        <x:v>Maintenance</x:v>
      </x:c>
      <x:c r="F6" t="str">
        <x:v>Engineering and audit workspace</x:v>
      </x:c>
      <x:c r="G6" t="str">
        <x:v>XML/SFTP</x:v>
      </x:c>
      <x:c r="H6" t="str">
        <x:v>Maintenance system → SFTP exchange → controlled repository</x:v>
      </x:c>
      <x:c r="I6" t="str">
        <x:v>Daily</x:v>
      </x:c>
      <x:c r="J6" t="str">
        <x:v>Accuracy; Completeness; Consistency; Traceability</x:v>
      </x:c>
      <x:c r="K6" t="str">
        <x:v>Basic awareness: maintenance record context</x:v>
      </x:c>
      <x:c r="L6" t="str">
        <x:v>Evidence Pending</x:v>
      </x:c>
    </x:row>
    <x:row r="7">
      <x:c r="A7" t="str">
        <x:v>AVI-06</x:v>
      </x:c>
      <x:c r="B7" t="str">
        <x:v>Operational Delay Data</x:v>
      </x:c>
      <x:c r="C7" t="str">
        <x:v>Operations Manager</x:v>
      </x:c>
      <x:c r="D7" t="str">
        <x:v>Operations Control System</x:v>
      </x:c>
      <x:c r="E7" t="str">
        <x:v>Operations</x:v>
      </x:c>
      <x:c r="F7" t="str">
        <x:v>Performance and regulatory reporting workspace</x:v>
      </x:c>
      <x:c r="G7" t="str">
        <x:v>JSON/CSV/API</x:v>
      </x:c>
      <x:c r="H7" t="str">
        <x:v>OCC → delay code validation → reporting</x:v>
      </x:c>
      <x:c r="I7" t="str">
        <x:v>Per event / daily</x:v>
      </x:c>
      <x:c r="J7" t="str">
        <x:v>Accuracy; Completeness; Consistency; Timeliness; Traceability</x:v>
      </x:c>
      <x:c r="K7" t="str">
        <x:v>Basic awareness: operational performance reporting context</x:v>
      </x:c>
      <x:c r="L7" t="str">
        <x:v>Planned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6" t="str">
        <x:v>DQ ID</x:v>
      </x:c>
      <x:c r="B1" s="6" t="str">
        <x:v>Aviation Data ID</x:v>
      </x:c>
      <x:c r="C1" s="6" t="str">
        <x:v>Data Problem</x:v>
      </x:c>
      <x:c r="D1" s="6" t="str">
        <x:v>Criteria Affected</x:v>
      </x:c>
      <x:c r="E1" s="6" t="str">
        <x:v>Detection Method</x:v>
      </x:c>
      <x:c r="F1" s="6" t="str">
        <x:v>Owner</x:v>
      </x:c>
      <x:c r="G1" s="6" t="str">
        <x:v>Related Risk ID</x:v>
      </x:c>
      <x:c r="H1" s="6" t="str">
        <x:v>Related Control ID</x:v>
      </x:c>
      <x:c r="I1" s="6" t="str">
        <x:v>Status</x:v>
      </x:c>
      <x:c r="J1" s="6" t="str">
        <x:v>Corrective Action</x:v>
      </x:c>
    </x:row>
    <x:row r="2">
      <x:c r="A2" t="str">
        <x:v>DQ-01</x:v>
      </x:c>
      <x:c r="B2" t="str">
        <x:v>AVI-03</x:v>
      </x:c>
      <x:c r="C2" t="str">
        <x:v>Eksik aircraft registration</x:v>
      </x:c>
      <x:c r="D2" t="str">
        <x:v>Completeness; Traceability</x:v>
      </x:c>
      <x:c r="E2" t="str">
        <x:v>Mandatory-field validation</x:v>
      </x:c>
      <x:c r="F2" t="str">
        <x:v>Fleet Data Owner</x:v>
      </x:c>
      <x:c r="G2" t="str">
        <x:v>R-01</x:v>
      </x:c>
      <x:c r="H2" t="str">
        <x:v>A.8.15</x:v>
      </x:c>
      <x:c r="I2" t="str">
        <x:v>Open</x:v>
      </x:c>
      <x:c r="J2" t="str">
        <x:v>Require registration before publishing</x:v>
      </x:c>
    </x:row>
    <x:row r="3">
      <x:c r="A3" t="str">
        <x:v>DQ-02</x:v>
      </x:c>
      <x:c r="B3" t="str">
        <x:v>AVI-01</x:v>
      </x:c>
      <x:c r="C3" t="str">
        <x:v>Yanlış flight date formatı</x:v>
      </x:c>
      <x:c r="D3" t="str">
        <x:v>Accuracy; Consistency</x:v>
      </x:c>
      <x:c r="E3" t="str">
        <x:v>Schema and format validation</x:v>
      </x:c>
      <x:c r="F3" t="str">
        <x:v>Operations Manager</x:v>
      </x:c>
      <x:c r="G3" t="str">
        <x:v>R-07</x:v>
      </x:c>
      <x:c r="H3" t="str">
        <x:v>A.8.8</x:v>
      </x:c>
      <x:c r="I3" t="str">
        <x:v>Open</x:v>
      </x:c>
      <x:c r="J3" t="str">
        <x:v>Standardize ISO date mapping</x:v>
      </x:c>
    </x:row>
    <x:row r="4">
      <x:c r="A4" t="str">
        <x:v>DQ-03</x:v>
      </x:c>
      <x:c r="B4" t="str">
        <x:v>AVI-02</x:v>
      </x:c>
      <x:c r="C4" t="str">
        <x:v>DCS ve rapor dosyasında farklı passenger count</x:v>
      </x:c>
      <x:c r="D4" t="str">
        <x:v>Consistency; Accuracy; Traceability</x:v>
      </x:c>
      <x:c r="E4" t="str">
        <x:v>Reconciliation control</x:v>
      </x:c>
      <x:c r="F4" t="str">
        <x:v>Passenger Services</x:v>
      </x:c>
      <x:c r="G4" t="str">
        <x:v>R-09</x:v>
      </x:c>
      <x:c r="H4" t="str">
        <x:v>A.5.18</x:v>
      </x:c>
      <x:c r="I4" t="str">
        <x:v>Open</x:v>
      </x:c>
      <x:c r="J4" t="str">
        <x:v>Reconcile and document source of truth</x:v>
      </x:c>
    </x:row>
    <x:row r="5">
      <x:c r="A5" t="str">
        <x:v>DQ-04</x:v>
      </x:c>
      <x:c r="B5" t="str">
        <x:v>AVI-06</x:v>
      </x:c>
      <x:c r="C5" t="str">
        <x:v>Geçersiz delay code</x:v>
      </x:c>
      <x:c r="D5" t="str">
        <x:v>Accuracy; Consistency</x:v>
      </x:c>
      <x:c r="E5" t="str">
        <x:v>Reference-data validation</x:v>
      </x:c>
      <x:c r="F5" t="str">
        <x:v>Operations Manager</x:v>
      </x:c>
      <x:c r="G5" t="str">
        <x:v>R-10</x:v>
      </x:c>
      <x:c r="H5" t="str">
        <x:v>A.8.16</x:v>
      </x:c>
      <x:c r="I5" t="str">
        <x:v>Open</x:v>
      </x:c>
      <x:c r="J5" t="str">
        <x:v>Maintain approved delay-code list</x:v>
      </x:c>
    </x:row>
    <x:row r="6">
      <x:c r="A6" t="str">
        <x:v>DQ-05</x:v>
      </x:c>
      <x:c r="B6" t="str">
        <x:v>AVI-01</x:v>
      </x:c>
      <x:c r="C6" t="str">
        <x:v>Regulatory submission sırasında API/SFTP aktarım hatası</x:v>
      </x:c>
      <x:c r="D6" t="str">
        <x:v>Timeliness; Traceability</x:v>
      </x:c>
      <x:c r="E6" t="str">
        <x:v>Transfer status and retry log</x:v>
      </x:c>
      <x:c r="F6" t="str">
        <x:v>IT Owner</x:v>
      </x:c>
      <x:c r="G6" t="str">
        <x:v>R-08</x:v>
      </x:c>
      <x:c r="H6" t="str">
        <x:v>A.5.24</x:v>
      </x:c>
      <x:c r="I6" t="str">
        <x:v>Open</x:v>
      </x:c>
      <x:c r="J6" t="str">
        <x:v>Retry, alert and retain transfer result</x:v>
      </x:c>
    </x:row>
    <x:row r="7">
      <x:c r="A7" t="str">
        <x:v>DQ-06</x:v>
      </x:c>
      <x:c r="B7" t="str">
        <x:v>AVI-05</x:v>
      </x:c>
      <x:c r="C7" t="str">
        <x:v>Eksik audit trail</x:v>
      </x:c>
      <x:c r="D7" t="str">
        <x:v>Traceability; Completeness</x:v>
      </x:c>
      <x:c r="E7" t="str">
        <x:v>Audit-log review</x:v>
      </x:c>
      <x:c r="F7" t="str">
        <x:v>Maintenance Manager</x:v>
      </x:c>
      <x:c r="G7" t="str">
        <x:v>R-10</x:v>
      </x:c>
      <x:c r="H7" t="str">
        <x:v>A.8.15</x:v>
      </x:c>
      <x:c r="I7" t="str">
        <x:v>Open</x:v>
      </x:c>
      <x:c r="J7" t="str">
        <x:v>Record user, time, change and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6" t="str">
        <x:v>Requirement ID</x:v>
      </x:c>
      <x:c r="B1" s="6" t="str">
        <x:v>Reference Body</x:v>
      </x:c>
      <x:c r="C1" s="6" t="str">
        <x:v>Basic Awareness Description</x:v>
      </x:c>
      <x:c r="D1" s="6" t="str">
        <x:v>Data Area</x:v>
      </x:c>
      <x:c r="E1" s="6" t="str">
        <x:v>Expected Evidence</x:v>
      </x:c>
      <x:c r="F1" s="6" t="str">
        <x:v>Related Control ID</x:v>
      </x:c>
      <x:c r="G1" s="6" t="str">
        <x:v>Status</x:v>
      </x:c>
      <x:c r="H1" s="6" t="str">
        <x:v>Scope Note</x:v>
      </x:c>
    </x:row>
    <x:row r="2">
      <x:c r="A2" t="str">
        <x:v>REG-01</x:v>
      </x:c>
      <x:c r="B2" t="str">
        <x:v>SHGM</x:v>
      </x:c>
      <x:c r="C2" t="str">
        <x:v>Türkiye sivil havacılık otoritesi bağlamında uygulanabilir ulusal gereklilikler ve bildirim beklentileri ayrıca doğrulanır.</x:v>
      </x:c>
      <x:c r="D2" t="str">
        <x:v>Flight Data; Passenger Data</x:v>
      </x:c>
      <x:c r="E2" t="str">
        <x:v>Requirement review note</x:v>
      </x:c>
      <x:c r="F2" t="str">
        <x:v>A.5.23</x:v>
      </x:c>
      <x:c r="G2" t="str">
        <x:v>Planned</x:v>
      </x:c>
      <x:c r="H2" t="str">
        <x:v>No real SHGM submission; simulated only</x:v>
      </x:c>
    </x:row>
    <x:row r="3">
      <x:c r="A3" t="str">
        <x:v>REG-02</x:v>
      </x:c>
      <x:c r="B3" t="str">
        <x:v>EASA</x:v>
      </x:c>
      <x:c r="C3" t="str">
        <x:v>Avrupa Birliği havacılık emniyeti düzenleyicisi bağlamındaki gereklilikler ve kapsam ayrıca doğrulanır.</x:v>
      </x:c>
      <x:c r="D3" t="str">
        <x:v>Aircraft Data; Maintenance Data</x:v>
      </x:c>
      <x:c r="E3" t="str">
        <x:v>Applicability assessment</x:v>
      </x:c>
      <x:c r="F3" t="str">
        <x:v>A.8.13</x:v>
      </x:c>
      <x:c r="G3" t="str">
        <x:v>Documentation Only</x:v>
      </x:c>
      <x:c r="H3" t="str">
        <x:v>No professional EASA compliance claim</x:v>
      </x:c>
    </x:row>
    <x:row r="4">
      <x:c r="A4" t="str">
        <x:v>REG-03</x:v>
      </x:c>
      <x:c r="B4" t="str">
        <x:v>IATA</x:v>
      </x:c>
      <x:c r="C4" t="str">
        <x:v>Havayolu sektörü uygulamaları, veri değişimi ve operasyonel iyi uygulamalar için sektör bağlamıdır; otorite değildir.</x:v>
      </x:c>
      <x:c r="D4" t="str">
        <x:v>Passenger Data; Flight Data</x:v>
      </x:c>
      <x:c r="E4" t="str">
        <x:v>Mapping note</x:v>
      </x:c>
      <x:c r="F4" t="str">
        <x:v>A.6.3</x:v>
      </x:c>
      <x:c r="G4" t="str">
        <x:v>Planned</x:v>
      </x:c>
      <x:c r="H4" t="str">
        <x:v>Basic awareness only</x:v>
      </x:c>
    </x:row>
    <x:row r="5">
      <x:c r="A5" t="str">
        <x:v>REG-04</x:v>
      </x:c>
      <x:c r="B5" t="str">
        <x:v>ICAO</x:v>
      </x:c>
      <x:c r="C5" t="str">
        <x:v>Uluslararası sivil havacılık standartları ve iş birliği çerçevesi için temel referans bağlamıdır.</x:v>
      </x:c>
      <x:c r="D5" t="str">
        <x:v>Flight Data; Crew Data; Maintenance Data</x:v>
      </x:c>
      <x:c r="E5" t="str">
        <x:v>Standards awareness note</x:v>
      </x:c>
      <x:c r="F5" t="str">
        <x:v>A.5.30</x:v>
      </x:c>
      <x:c r="G5" t="str">
        <x:v>Planned</x:v>
      </x:c>
      <x:c r="H5" t="str">
        <x:v>Not a legal applicability determination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6" t="str">
        <x:v>Submission ID</x:v>
      </x:c>
      <x:c r="B1" s="6" t="str">
        <x:v>Data Area</x:v>
      </x:c>
      <x:c r="C1" s="6" t="str">
        <x:v>Reference Body</x:v>
      </x:c>
      <x:c r="D1" s="6" t="str">
        <x:v>Submission Method</x:v>
      </x:c>
      <x:c r="E1" s="6" t="str">
        <x:v>Source</x:v>
      </x:c>
      <x:c r="F1" s="6" t="str">
        <x:v>Destination</x:v>
      </x:c>
      <x:c r="G1" s="6" t="str">
        <x:v>Frequency</x:v>
      </x:c>
      <x:c r="H1" s="6" t="str">
        <x:v>Submission Status</x:v>
      </x:c>
      <x:c r="I1" s="6" t="str">
        <x:v>Transfer Error / Note</x:v>
      </x:c>
      <x:c r="J1" s="6" t="str">
        <x:v>Related DQ ID</x:v>
      </x:c>
      <x:c r="K1" s="6" t="str">
        <x:v>Evidence Status</x:v>
      </x:c>
    </x:row>
    <x:row r="2">
      <x:c r="A2" t="str">
        <x:v>SUB-01</x:v>
      </x:c>
      <x:c r="B2" t="str">
        <x:v>Flight Data</x:v>
      </x:c>
      <x:c r="C2" t="str">
        <x:v>SHGM</x:v>
      </x:c>
      <x:c r="D2" t="str">
        <x:v>API</x:v>
      </x:c>
      <x:c r="E2" t="str">
        <x:v>Flight Operations System</x:v>
      </x:c>
      <x:c r="F2" t="str">
        <x:v>Simulated regulatory endpoint</x:v>
      </x:c>
      <x:c r="G2" t="str">
        <x:v>Daily</x:v>
      </x:c>
      <x:c r="H2" t="str">
        <x:v>Planned</x:v>
      </x:c>
      <x:c r="I2" t="str">
        <x:v>No real transmission; example flow only</x:v>
      </x:c>
      <x:c r="J2" t="str">
        <x:v>DQ-05</x:v>
      </x:c>
      <x:c r="K2" t="str">
        <x:v>Evidence Pending</x:v>
      </x:c>
    </x:row>
    <x:row r="3">
      <x:c r="A3" t="str">
        <x:v>SUB-02</x:v>
      </x:c>
      <x:c r="B3" t="str">
        <x:v>Passenger Data</x:v>
      </x:c>
      <x:c r="C3" t="str">
        <x:v>EASA</x:v>
      </x:c>
      <x:c r="D3" t="str">
        <x:v>SFTP</x:v>
      </x:c>
      <x:c r="E3" t="str">
        <x:v>DCS</x:v>
      </x:c>
      <x:c r="F3" t="str">
        <x:v>Controlled submission folder</x:v>
      </x:c>
      <x:c r="G3" t="str">
        <x:v>Per flight / daily</x:v>
      </x:c>
      <x:c r="H3" t="str">
        <x:v>Documentation Only</x:v>
      </x:c>
      <x:c r="I3" t="str">
        <x:v>Example CSV reconciliation before transfer</x:v>
      </x:c>
      <x:c r="J3" t="str">
        <x:v>DQ-03</x:v>
      </x:c>
      <x:c r="K3" t="str">
        <x:v>Documentation Only</x:v>
      </x:c>
    </x:row>
    <x:row r="4">
      <x:c r="A4" t="str">
        <x:v>SUB-03</x:v>
      </x:c>
      <x:c r="B4" t="str">
        <x:v>Aircraft Data</x:v>
      </x:c>
      <x:c r="C4" t="str">
        <x:v>ICAO</x:v>
      </x:c>
      <x:c r="D4" t="str">
        <x:v>XML/API</x:v>
      </x:c>
      <x:c r="E4" t="str">
        <x:v>Fleet Management System</x:v>
      </x:c>
      <x:c r="F4" t="str">
        <x:v>Simulated reporting workspace</x:v>
      </x:c>
      <x:c r="G4" t="str">
        <x:v>Monthly</x:v>
      </x:c>
      <x:c r="H4" t="str">
        <x:v>Planned</x:v>
      </x:c>
      <x:c r="I4" t="str">
        <x:v>XML schema validation example</x:v>
      </x:c>
      <x:c r="J4" t="str">
        <x:v>DQ-01</x:v>
      </x:c>
      <x:c r="K4" t="str">
        <x:v>Evidence Pending</x:v>
      </x:c>
    </x:row>
    <x:row r="5">
      <x:c r="A5" t="str">
        <x:v>SUB-04</x:v>
      </x:c>
      <x:c r="B5" t="str">
        <x:v>Operational Delay Data</x:v>
      </x:c>
      <x:c r="C5" t="str">
        <x:v>IATA</x:v>
      </x:c>
      <x:c r="D5" t="str">
        <x:v>CSV/SFTP</x:v>
      </x:c>
      <x:c r="E5" t="str">
        <x:v>Operations Control System</x:v>
      </x:c>
      <x:c r="F5" t="str">
        <x:v>Internal performance workspace</x:v>
      </x:c>
      <x:c r="G5" t="str">
        <x:v>Daily</x:v>
      </x:c>
      <x:c r="H5" t="str">
        <x:v>Partially Implemented</x:v>
      </x:c>
      <x:c r="I5" t="str">
        <x:v>Invalid delay code may be rejected</x:v>
      </x:c>
      <x:c r="J5" t="str">
        <x:v>DQ-04</x:v>
      </x:c>
      <x:c r="K5" t="str">
        <x:v>Documentation 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" t="str">
        <x:v>Audit/CAPA ID</x:v>
      </x:c>
      <x:c r="B1" s="6" t="str">
        <x:v>Finding</x:v>
      </x:c>
      <x:c r="C1" s="6" t="str">
        <x:v>Data Area</x:v>
      </x:c>
      <x:c r="D1" s="6" t="str">
        <x:v>Related DQ ID</x:v>
      </x:c>
      <x:c r="E1" s="6" t="str">
        <x:v>Related Risk ID</x:v>
      </x:c>
      <x:c r="F1" s="6" t="str">
        <x:v>Related Control ID</x:v>
      </x:c>
      <x:c r="G1" s="6" t="str">
        <x:v>Root Cause</x:v>
      </x:c>
      <x:c r="H1" s="6" t="str">
        <x:v>Corrective Action</x:v>
      </x:c>
      <x:c r="I1" s="6" t="str">
        <x:v>Preventive Action</x:v>
      </x:c>
      <x:c r="J1" s="6" t="str">
        <x:v>Owner</x:v>
      </x:c>
      <x:c r="K1" s="6" t="str">
        <x:v>Status</x:v>
      </x:c>
      <x:c r="L1" s="6" t="str">
        <x:v>Closure Evidence</x:v>
      </x:c>
    </x:row>
    <x:row r="2">
      <x:c r="A2" t="str">
        <x:v>AV-CAPA-01</x:v>
      </x:c>
      <x:c r="B2" t="str">
        <x:v>Eksik aircraft registration</x:v>
      </x:c>
      <x:c r="C2" t="str">
        <x:v>Aircraft Data</x:v>
      </x:c>
      <x:c r="D2" t="str">
        <x:v>DQ-01</x:v>
      </x:c>
      <x:c r="E2" t="str">
        <x:v>R-01</x:v>
      </x:c>
      <x:c r="F2" t="str">
        <x:v>A.5.18</x:v>
      </x:c>
      <x:c r="G2" t="str">
        <x:v>Mandatory field not enforced</x:v>
      </x:c>
      <x:c r="H2" t="str">
        <x:v>Add validation rule</x:v>
      </x:c>
      <x:c r="I2" t="str">
        <x:v>Periodic data-quality review</x:v>
      </x:c>
      <x:c r="J2" t="str">
        <x:v>Fleet Data Owner</x:v>
      </x:c>
      <x:c r="K2" t="str">
        <x:v>Open</x:v>
      </x:c>
      <x:c r="L2" t="str">
        <x:v>Example only</x:v>
      </x:c>
    </x:row>
    <x:row r="3">
      <x:c r="A3" t="str">
        <x:v>AV-CAPA-02</x:v>
      </x:c>
      <x:c r="B3" t="str">
        <x:v>Passenger count mismatch between DCS and report</x:v>
      </x:c>
      <x:c r="C3" t="str">
        <x:v>Passenger Data</x:v>
      </x:c>
      <x:c r="D3" t="str">
        <x:v>DQ-03</x:v>
      </x:c>
      <x:c r="E3" t="str">
        <x:v>R-09</x:v>
      </x:c>
      <x:c r="F3" t="str">
        <x:v>A.8.15</x:v>
      </x:c>
      <x:c r="G3" t="str">
        <x:v>Reconciliation step not documented</x:v>
      </x:c>
      <x:c r="H3" t="str">
        <x:v>Define reconciliation and exception log</x:v>
      </x:c>
      <x:c r="I3" t="str">
        <x:v>Source-to-report mapping review</x:v>
      </x:c>
      <x:c r="J3" t="str">
        <x:v>Passenger Services</x:v>
      </x:c>
      <x:c r="K3" t="str">
        <x:v>Open</x:v>
      </x:c>
      <x:c r="L3" t="str">
        <x:v>Example only</x:v>
      </x:c>
    </x:row>
    <x:row r="4">
      <x:c r="A4" t="str">
        <x:v>AV-CAPA-03</x:v>
      </x:c>
      <x:c r="B4" t="str">
        <x:v>API/SFTP transfer failure during simulated submission</x:v>
      </x:c>
      <x:c r="C4" t="str">
        <x:v>Flight Data</x:v>
      </x:c>
      <x:c r="D4" t="str">
        <x:v>DQ-05</x:v>
      </x:c>
      <x:c r="E4" t="str">
        <x:v>R-08</x:v>
      </x:c>
      <x:c r="F4" t="str">
        <x:v>A.5.24</x:v>
      </x:c>
      <x:c r="G4" t="str">
        <x:v>Transfer monitoring not defined</x:v>
      </x:c>
      <x:c r="H4" t="str">
        <x:v>Add retry and alert procedure</x:v>
      </x:c>
      <x:c r="I4" t="str">
        <x:v>Monthly transfer review</x:v>
      </x:c>
      <x:c r="J4" t="str">
        <x:v>IT Owner</x:v>
      </x:c>
      <x:c r="K4" t="str">
        <x:v>Open</x:v>
      </x:c>
      <x:c r="L4" t="str">
        <x:v>No real submission evidence</x:v>
      </x:c>
    </x:row>
    <x:row r="5">
      <x:c r="A5" t="str">
        <x:v>AV-CAPA-04</x:v>
      </x:c>
      <x:c r="B5" t="str">
        <x:v>Missing audit trail for maintenance data change</x:v>
      </x:c>
      <x:c r="C5" t="str">
        <x:v>Maintenance Data</x:v>
      </x:c>
      <x:c r="D5" t="str">
        <x:v>DQ-06</x:v>
      </x:c>
      <x:c r="E5" t="str">
        <x:v>R-10</x:v>
      </x:c>
      <x:c r="F5" t="str">
        <x:v>A.8.16</x:v>
      </x:c>
      <x:c r="G5" t="str">
        <x:v>Audit logging coverage incomplete</x:v>
      </x:c>
      <x:c r="H5" t="str">
        <x:v>Define minimum audit fields</x:v>
      </x:c>
      <x:c r="I5" t="str">
        <x:v>Periodic audit-log sampling</x:v>
      </x:c>
      <x:c r="J5" t="str">
        <x:v>Maintenance Manager</x:v>
      </x:c>
      <x:c r="K5" t="str">
        <x:v>Open</x:v>
      </x:c>
      <x:c r="L5" t="str">
        <x:v>Example only</x:v>
      </x:c>
    </x:row>
  </x:sheetData>
  <x:pageMargins left="0.7" right="0.7" top="0.75" bottom="0.75" header="0.3" footer="0.3"/>
</x:worksheet>
</file>